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 de Vendas" sheetId="2" state="visible" r:id="rId2"/>
  </sheets>
  <definedNames>
    <definedName name="_xlnm._FilterDatabase" localSheetId="1" hidden="1">'Dados de Vendas'!$A$1:$H$16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A365D"/>
      <sz val="16"/>
    </font>
    <font>
      <name val="Segoe UI"/>
      <b val="1"/>
      <color rgb="005A6A85"/>
      <sz val="10"/>
    </font>
    <font>
      <name val="Segoe UI"/>
      <b val="1"/>
      <color rgb="002B6CB0"/>
      <sz val="20"/>
    </font>
    <font>
      <name val="Segoe UI"/>
      <b val="1"/>
      <color rgb="001A365D"/>
      <sz val="12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E2E8F0"/>
      </top>
      <bottom style="double">
        <color rgb="001A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  <xf numFmtId="166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3" fillId="0" borderId="2" pivotButton="0" quotePrefix="0" xfId="0"/>
    <xf numFmtId="3" fontId="3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dxfs count="1">
    <dxf>
      <font>
        <name val="Segoe UI"/>
        <b val="1"/>
        <color rgb="009B2C2C"/>
        <sz val="11"/>
      </font>
      <fill>
        <patternFill patternType="solid">
          <fgColor rgb="00FED7D7"/>
          <b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43" customWidth="1" min="2" max="2"/>
    <col width="16" customWidth="1" min="3" max="3"/>
    <col width="18" customWidth="1" min="4" max="4"/>
    <col width="26" customWidth="1" min="5" max="5"/>
    <col width="16" customWidth="1" min="6" max="6"/>
    <col width="3" customWidth="1" min="7" max="7"/>
    <col width="45" customWidth="1" min="8" max="8"/>
    <col width="12" customWidth="1" min="9" max="9"/>
  </cols>
  <sheetData>
    <row r="1"/>
    <row r="2" ht="30" customHeight="1">
      <c r="B2" s="1" t="inlineStr">
        <is>
          <t>Relatório Executivo de Vendas &amp; Estoque</t>
        </is>
      </c>
    </row>
    <row r="3"/>
    <row r="4">
      <c r="B4" s="2" t="inlineStr">
        <is>
          <t>FATURAMENTO TOTAL</t>
        </is>
      </c>
      <c r="C4" s="3" t="n"/>
      <c r="E4" s="2" t="inlineStr">
        <is>
          <t>PRODUTOS VENDIDOS</t>
        </is>
      </c>
      <c r="F4" s="3" t="n"/>
      <c r="H4" s="2" t="inlineStr">
        <is>
          <t>ALERTAS DE ESTOQUE (CRÍTICO)</t>
        </is>
      </c>
      <c r="I4" s="3" t="n"/>
    </row>
    <row r="5">
      <c r="B5" s="4">
        <f>'Dados de Vendas'!G17</f>
        <v/>
      </c>
      <c r="C5" s="3" t="n"/>
      <c r="E5" s="5">
        <f>'Dados de Vendas'!F17</f>
        <v/>
      </c>
      <c r="F5" s="3" t="n"/>
      <c r="H5" s="5">
        <f>COUNTIF('Dados de Vendas'!H2:H16, "&lt;=5")</f>
        <v/>
      </c>
      <c r="I5" s="3" t="n"/>
    </row>
    <row r="6"/>
    <row r="7"/>
    <row r="8">
      <c r="B8" s="6" t="inlineStr">
        <is>
          <t>Desempenho por Categoria</t>
        </is>
      </c>
    </row>
    <row r="9">
      <c r="B9" s="7" t="inlineStr">
        <is>
          <t>Categoria</t>
        </is>
      </c>
      <c r="C9" s="8" t="inlineStr">
        <is>
          <t>Total Vendido</t>
        </is>
      </c>
      <c r="D9" s="8" t="inlineStr">
        <is>
          <t>Faturamento</t>
        </is>
      </c>
    </row>
    <row r="10">
      <c r="B10" s="9" t="inlineStr">
        <is>
          <t>Hardware</t>
        </is>
      </c>
      <c r="C10" s="10">
        <f>SUMIF('Dados de Vendas'!D$2:D$16, B10, 'Dados de Vendas'!F$2:F$16)</f>
        <v/>
      </c>
      <c r="D10" s="11">
        <f>SUMIF('Dados de Vendas'!D$2:D$16, B10, 'Dados de Vendas'!G$2:G$16)</f>
        <v/>
      </c>
    </row>
    <row r="11">
      <c r="B11" s="12" t="inlineStr">
        <is>
          <t>Periféricos</t>
        </is>
      </c>
      <c r="C11" s="13">
        <f>SUMIF('Dados de Vendas'!D$2:D$16, B11, 'Dados de Vendas'!F$2:F$16)</f>
        <v/>
      </c>
      <c r="D11" s="14">
        <f>SUMIF('Dados de Vendas'!D$2:D$16, B11, 'Dados de Vendas'!G$2:G$16)</f>
        <v/>
      </c>
    </row>
    <row r="12">
      <c r="B12" s="9" t="inlineStr">
        <is>
          <t>Móveis</t>
        </is>
      </c>
      <c r="C12" s="10">
        <f>SUMIF('Dados de Vendas'!D$2:D$16, B12, 'Dados de Vendas'!F$2:F$16)</f>
        <v/>
      </c>
      <c r="D12" s="11">
        <f>SUMIF('Dados de Vendas'!D$2:D$16, B12, 'Dados de Vendas'!G$2:G$16)</f>
        <v/>
      </c>
    </row>
    <row r="13">
      <c r="B13" s="12" t="inlineStr">
        <is>
          <t>Áudio</t>
        </is>
      </c>
      <c r="C13" s="13">
        <f>SUMIF('Dados de Vendas'!D$2:D$16, B13, 'Dados de Vendas'!F$2:F$16)</f>
        <v/>
      </c>
      <c r="D13" s="14">
        <f>SUMIF('Dados de Vendas'!D$2:D$16, B13, 'Dados de Vendas'!G$2:G$16)</f>
        <v/>
      </c>
    </row>
    <row r="14">
      <c r="B14" s="9" t="inlineStr">
        <is>
          <t>Elétrica</t>
        </is>
      </c>
      <c r="C14" s="10">
        <f>SUMIF('Dados de Vendas'!D$2:D$16, B14, 'Dados de Vendas'!F$2:F$16)</f>
        <v/>
      </c>
      <c r="D14" s="11">
        <f>SUMIF('Dados de Vendas'!D$2:D$16, B14, 'Dados de Vendas'!G$2:G$16)</f>
        <v/>
      </c>
    </row>
    <row r="15">
      <c r="B15" s="12" t="inlineStr">
        <is>
          <t>Acessórios</t>
        </is>
      </c>
      <c r="C15" s="13">
        <f>SUMIF('Dados de Vendas'!D$2:D$16, B15, 'Dados de Vendas'!F$2:F$16)</f>
        <v/>
      </c>
      <c r="D15" s="14">
        <f>SUMIF('Dados de Vendas'!D$2:D$16, B15, 'Dados de Vendas'!G$2:G$16)</f>
        <v/>
      </c>
    </row>
    <row r="16">
      <c r="B16" s="15" t="inlineStr">
        <is>
          <t>Total</t>
        </is>
      </c>
      <c r="C16" s="16">
        <f>SUM(C10:C15)</f>
        <v/>
      </c>
      <c r="D16" s="17">
        <f>SUM(D10:D15)</f>
        <v/>
      </c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0" customWidth="1" min="3" max="3"/>
    <col width="15" customWidth="1" min="4" max="4"/>
    <col width="18" customWidth="1" min="5" max="5"/>
    <col width="22" customWidth="1" min="6" max="6"/>
    <col width="21" customWidth="1" min="7" max="7"/>
    <col width="17" customWidth="1" min="8" max="8"/>
  </cols>
  <sheetData>
    <row r="1" ht="25" customHeight="1">
      <c r="A1" s="18" t="inlineStr">
        <is>
          <t>ID Venda</t>
        </is>
      </c>
      <c r="B1" s="18" t="inlineStr">
        <is>
          <t>Data da Venda</t>
        </is>
      </c>
      <c r="C1" s="7" t="inlineStr">
        <is>
          <t>Produto</t>
        </is>
      </c>
      <c r="D1" s="7" t="inlineStr">
        <is>
          <t>Categoria</t>
        </is>
      </c>
      <c r="E1" s="8" t="inlineStr">
        <is>
          <t>Preço Unitário</t>
        </is>
      </c>
      <c r="F1" s="8" t="inlineStr">
        <is>
          <t>Quantidade Vendida</t>
        </is>
      </c>
      <c r="G1" s="8" t="inlineStr">
        <is>
          <t>Faturamento Total</t>
        </is>
      </c>
      <c r="H1" s="8" t="inlineStr">
        <is>
          <t>Estoque Atual</t>
        </is>
      </c>
    </row>
    <row r="2" ht="20" customHeight="1">
      <c r="A2" s="19" t="n">
        <v>1001</v>
      </c>
      <c r="B2" s="20" t="n">
        <v>46174</v>
      </c>
      <c r="C2" s="9" t="inlineStr">
        <is>
          <t>Teclado Mecânico RGB</t>
        </is>
      </c>
      <c r="D2" s="9" t="inlineStr">
        <is>
          <t>Periféricos</t>
        </is>
      </c>
      <c r="E2" s="11" t="n">
        <v>349.9</v>
      </c>
      <c r="F2" s="10" t="n">
        <v>5</v>
      </c>
      <c r="G2" s="11">
        <f>E2*F2</f>
        <v/>
      </c>
      <c r="H2" s="10" t="n">
        <v>45</v>
      </c>
    </row>
    <row r="3" ht="20" customHeight="1">
      <c r="A3" s="21" t="n">
        <v>1002</v>
      </c>
      <c r="B3" s="22" t="n">
        <v>46175</v>
      </c>
      <c r="C3" s="12" t="inlineStr">
        <is>
          <t>Monitor Gamer 24'</t>
        </is>
      </c>
      <c r="D3" s="12" t="inlineStr">
        <is>
          <t>Monitores</t>
        </is>
      </c>
      <c r="E3" s="14" t="n">
        <v>1299</v>
      </c>
      <c r="F3" s="13" t="n">
        <v>2</v>
      </c>
      <c r="G3" s="14">
        <f>E3*F3</f>
        <v/>
      </c>
      <c r="H3" s="13" t="n">
        <v>8</v>
      </c>
    </row>
    <row r="4" ht="20" customHeight="1">
      <c r="A4" s="19" t="n">
        <v>1003</v>
      </c>
      <c r="B4" s="20" t="n">
        <v>46175</v>
      </c>
      <c r="C4" s="9" t="inlineStr">
        <is>
          <t>Mouse Gamer Wireless</t>
        </is>
      </c>
      <c r="D4" s="9" t="inlineStr">
        <is>
          <t>Periféricos</t>
        </is>
      </c>
      <c r="E4" s="11" t="n">
        <v>259.9</v>
      </c>
      <c r="F4" s="10" t="n">
        <v>10</v>
      </c>
      <c r="G4" s="11">
        <f>E4*F4</f>
        <v/>
      </c>
      <c r="H4" s="10" t="n">
        <v>80</v>
      </c>
    </row>
    <row r="5" ht="20" customHeight="1">
      <c r="A5" s="21" t="n">
        <v>1004</v>
      </c>
      <c r="B5" s="22" t="n">
        <v>46176</v>
      </c>
      <c r="C5" s="12" t="inlineStr">
        <is>
          <t>Cadeira Ergonômica</t>
        </is>
      </c>
      <c r="D5" s="12" t="inlineStr">
        <is>
          <t>Móveis</t>
        </is>
      </c>
      <c r="E5" s="14" t="n">
        <v>899</v>
      </c>
      <c r="F5" s="13" t="n">
        <v>3</v>
      </c>
      <c r="G5" s="14">
        <f>E5*F5</f>
        <v/>
      </c>
      <c r="H5" s="13" t="n">
        <v>4</v>
      </c>
    </row>
    <row r="6" ht="20" customHeight="1">
      <c r="A6" s="19" t="n">
        <v>1005</v>
      </c>
      <c r="B6" s="20" t="n">
        <v>46178</v>
      </c>
      <c r="C6" s="9" t="inlineStr">
        <is>
          <t>Headset HyperX</t>
        </is>
      </c>
      <c r="D6" s="9" t="inlineStr">
        <is>
          <t>Áudio</t>
        </is>
      </c>
      <c r="E6" s="11" t="n">
        <v>419.9</v>
      </c>
      <c r="F6" s="10" t="n">
        <v>7</v>
      </c>
      <c r="G6" s="11">
        <f>E6*F6</f>
        <v/>
      </c>
      <c r="H6" s="10" t="n">
        <v>15</v>
      </c>
    </row>
    <row r="7" ht="20" customHeight="1">
      <c r="A7" s="21" t="n">
        <v>1006</v>
      </c>
      <c r="B7" s="22" t="n">
        <v>46179</v>
      </c>
      <c r="C7" s="12" t="inlineStr">
        <is>
          <t>SSD NVMe 1TB</t>
        </is>
      </c>
      <c r="D7" s="12" t="inlineStr">
        <is>
          <t>Hardware</t>
        </is>
      </c>
      <c r="E7" s="14" t="n">
        <v>480</v>
      </c>
      <c r="F7" s="13" t="n">
        <v>12</v>
      </c>
      <c r="G7" s="14">
        <f>E7*F7</f>
        <v/>
      </c>
      <c r="H7" s="13" t="n">
        <v>3</v>
      </c>
    </row>
    <row r="8" ht="20" customHeight="1">
      <c r="A8" s="19" t="n">
        <v>1007</v>
      </c>
      <c r="B8" s="20" t="n">
        <v>46181</v>
      </c>
      <c r="C8" s="9" t="inlineStr">
        <is>
          <t>Memória RAM 16GB</t>
        </is>
      </c>
      <c r="D8" s="9" t="inlineStr">
        <is>
          <t>Hardware</t>
        </is>
      </c>
      <c r="E8" s="11" t="n">
        <v>320</v>
      </c>
      <c r="F8" s="10" t="n">
        <v>8</v>
      </c>
      <c r="G8" s="11">
        <f>E8*F8</f>
        <v/>
      </c>
      <c r="H8" s="10" t="n">
        <v>22</v>
      </c>
    </row>
    <row r="9" ht="20" customHeight="1">
      <c r="A9" s="21" t="n">
        <v>1008</v>
      </c>
      <c r="B9" s="22" t="n">
        <v>46183</v>
      </c>
      <c r="C9" s="12" t="inlineStr">
        <is>
          <t>Gabinete ATX Aquário</t>
        </is>
      </c>
      <c r="D9" s="12" t="inlineStr">
        <is>
          <t>Hardware</t>
        </is>
      </c>
      <c r="E9" s="14" t="n">
        <v>399</v>
      </c>
      <c r="F9" s="13" t="n">
        <v>4</v>
      </c>
      <c r="G9" s="14">
        <f>E9*F9</f>
        <v/>
      </c>
      <c r="H9" s="13" t="n">
        <v>12</v>
      </c>
    </row>
    <row r="10" ht="20" customHeight="1">
      <c r="A10" s="19" t="n">
        <v>1009</v>
      </c>
      <c r="B10" s="20" t="n">
        <v>46185</v>
      </c>
      <c r="C10" s="9" t="inlineStr">
        <is>
          <t>Webcam Full HD</t>
        </is>
      </c>
      <c r="D10" s="9" t="inlineStr">
        <is>
          <t>Periféricos</t>
        </is>
      </c>
      <c r="E10" s="11" t="n">
        <v>199.9</v>
      </c>
      <c r="F10" s="10" t="n">
        <v>15</v>
      </c>
      <c r="G10" s="11">
        <f>E10*F10</f>
        <v/>
      </c>
      <c r="H10" s="10" t="n">
        <v>50</v>
      </c>
    </row>
    <row r="11" ht="20" customHeight="1">
      <c r="A11" s="21" t="n">
        <v>1010</v>
      </c>
      <c r="B11" s="22" t="n">
        <v>46188</v>
      </c>
      <c r="C11" s="12" t="inlineStr">
        <is>
          <t>Mesa Direcional L</t>
        </is>
      </c>
      <c r="D11" s="12" t="inlineStr">
        <is>
          <t>Móveis</t>
        </is>
      </c>
      <c r="E11" s="14" t="n">
        <v>750</v>
      </c>
      <c r="F11" s="13" t="n">
        <v>1</v>
      </c>
      <c r="G11" s="14">
        <f>E11*F11</f>
        <v/>
      </c>
      <c r="H11" s="13" t="n">
        <v>2</v>
      </c>
    </row>
    <row r="12" ht="20" customHeight="1">
      <c r="A12" s="19" t="n">
        <v>1011</v>
      </c>
      <c r="B12" s="20" t="n">
        <v>46191</v>
      </c>
      <c r="C12" s="9" t="inlineStr">
        <is>
          <t>Microfone Condensador</t>
        </is>
      </c>
      <c r="D12" s="9" t="inlineStr">
        <is>
          <t>Áudio</t>
        </is>
      </c>
      <c r="E12" s="11" t="n">
        <v>299</v>
      </c>
      <c r="F12" s="10" t="n">
        <v>6</v>
      </c>
      <c r="G12" s="11">
        <f>E12*F12</f>
        <v/>
      </c>
      <c r="H12" s="10" t="n">
        <v>18</v>
      </c>
    </row>
    <row r="13" ht="20" customHeight="1">
      <c r="A13" s="21" t="n">
        <v>1012</v>
      </c>
      <c r="B13" s="22" t="n">
        <v>46193</v>
      </c>
      <c r="C13" s="12" t="inlineStr">
        <is>
          <t>Placa de Vídeo RTX 4060</t>
        </is>
      </c>
      <c r="D13" s="12" t="inlineStr">
        <is>
          <t>Hardware</t>
        </is>
      </c>
      <c r="E13" s="14" t="n">
        <v>2100</v>
      </c>
      <c r="F13" s="13" t="n">
        <v>3</v>
      </c>
      <c r="G13" s="14">
        <f>E13*F13</f>
        <v/>
      </c>
      <c r="H13" s="13" t="n">
        <v>5</v>
      </c>
    </row>
    <row r="14" ht="20" customHeight="1">
      <c r="A14" s="19" t="n">
        <v>1013</v>
      </c>
      <c r="B14" s="20" t="n">
        <v>46195</v>
      </c>
      <c r="C14" s="9" t="inlineStr">
        <is>
          <t>Filtro de Linha iClamper</t>
        </is>
      </c>
      <c r="D14" s="9" t="inlineStr">
        <is>
          <t>Elétrica</t>
        </is>
      </c>
      <c r="E14" s="11" t="n">
        <v>69.90000000000001</v>
      </c>
      <c r="F14" s="10" t="n">
        <v>25</v>
      </c>
      <c r="G14" s="11">
        <f>E14*F14</f>
        <v/>
      </c>
      <c r="H14" s="10" t="n">
        <v>120</v>
      </c>
    </row>
    <row r="15" ht="20" customHeight="1">
      <c r="A15" s="21" t="n">
        <v>1014</v>
      </c>
      <c r="B15" s="22" t="n">
        <v>46198</v>
      </c>
      <c r="C15" s="12" t="inlineStr">
        <is>
          <t>Suporte Articulado Monitor</t>
        </is>
      </c>
      <c r="D15" s="12" t="inlineStr">
        <is>
          <t>Acessórios</t>
        </is>
      </c>
      <c r="E15" s="14" t="n">
        <v>180</v>
      </c>
      <c r="F15" s="13" t="n">
        <v>9</v>
      </c>
      <c r="G15" s="14">
        <f>E15*F15</f>
        <v/>
      </c>
      <c r="H15" s="13" t="n">
        <v>35</v>
      </c>
    </row>
    <row r="16" ht="20" customHeight="1">
      <c r="A16" s="19" t="n">
        <v>1015</v>
      </c>
      <c r="B16" s="20" t="n">
        <v>46199</v>
      </c>
      <c r="C16" s="9" t="inlineStr">
        <is>
          <t>Water Cooler 240mm</t>
        </is>
      </c>
      <c r="D16" s="9" t="inlineStr">
        <is>
          <t>Hardware</t>
        </is>
      </c>
      <c r="E16" s="11" t="n">
        <v>450</v>
      </c>
      <c r="F16" s="10" t="n">
        <v>5</v>
      </c>
      <c r="G16" s="11">
        <f>E16*F16</f>
        <v/>
      </c>
      <c r="H16" s="10" t="n">
        <v>7</v>
      </c>
    </row>
    <row r="17" ht="22" customHeight="1">
      <c r="A17" s="15" t="inlineStr">
        <is>
          <t>Total</t>
        </is>
      </c>
      <c r="B17" s="23" t="n"/>
      <c r="C17" s="23" t="n"/>
      <c r="D17" s="23" t="n"/>
      <c r="E17" s="23" t="n"/>
      <c r="F17" s="16">
        <f>SUM(F2:F16)</f>
        <v/>
      </c>
      <c r="G17" s="17">
        <f>SUM(G2:G16)</f>
        <v/>
      </c>
      <c r="H17" s="23" t="n"/>
    </row>
  </sheetData>
  <autoFilter ref="A1:H16"/>
  <conditionalFormatting sqref="H2:H16">
    <cfRule type="cellIs" priority="1" operator="lessThanOrEqual" dxfId="0" stopIfTrue="1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2026-06-27T18:49:45Z</dcterms:created>
  <dcterms:modified xmlns:dcterms="http://purl.org/dc/terms/" xmlns:xsi="http://www.w3.org/2001/XMLSchema-instance" xsi:type="dcterms:W3CDTF">2026-06-27T18:49:45Z</dcterms:modified>
</cp:coreProperties>
</file>